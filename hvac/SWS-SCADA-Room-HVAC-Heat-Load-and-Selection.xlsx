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sign Basis" sheetId="1" state="visible" r:id="rId3"/>
    <sheet name="Heat Load" sheetId="2" state="visible" r:id="rId4"/>
    <sheet name="Unit Selection" sheetId="3" state="visible" r:id="rId5"/>
    <sheet name="Equipment Schedule" sheetId="4" state="visible" r:id="rId6"/>
    <sheet name="Notes &amp; Assumption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<sst xmlns="http://schemas.openxmlformats.org/spreadsheetml/2006/main" count="238" uniqueCount="195">
  <si>
    <t xml:space="preserve">SWS — 40 ft High-Cube E-House · SCADA Room — HVAC Design Basis</t>
  </si>
  <si>
    <t xml:space="preserve">Legend: blue = input you may change · yellow fill = key assumption to confirm · black = formula · green = link from another sheet</t>
  </si>
  <si>
    <t xml:space="preserve">Status: FOR REVIEW — design basis assumptions must be confirmed by SWS Engineering before procurement.</t>
  </si>
  <si>
    <t xml:space="preserve">Ref</t>
  </si>
  <si>
    <t xml:space="preserve">Parameter</t>
  </si>
  <si>
    <t xml:space="preserve">Value</t>
  </si>
  <si>
    <t xml:space="preserve">Unit</t>
  </si>
  <si>
    <t xml:space="preserve">Source / note</t>
  </si>
  <si>
    <t xml:space="preserve">CLIMATE</t>
  </si>
  <si>
    <t xml:space="preserve">DB-01</t>
  </si>
  <si>
    <t xml:space="preserve">Outdoor design dry bulb</t>
  </si>
  <si>
    <t xml:space="preserve">°C</t>
  </si>
  <si>
    <t xml:space="preserve">Conservative Eastern Province shelter design ambient (ASHRAE 0.4% for Dammam is ≈46 °C). Confirm against project HVAC spec.</t>
  </si>
  <si>
    <t xml:space="preserve">DB-02</t>
  </si>
  <si>
    <t xml:space="preserve">Outdoor design humidity ratio</t>
  </si>
  <si>
    <t xml:space="preserve">g/kg</t>
  </si>
  <si>
    <t xml:space="preserve">Coastal humid design condition, Dammam (assumed).</t>
  </si>
  <si>
    <t xml:space="preserve">DB-03</t>
  </si>
  <si>
    <t xml:space="preserve">Indoor design dry bulb</t>
  </si>
  <si>
    <t xml:space="preserve">Typical for SCADA / control equipment rooms (24 ± 2 °C).</t>
  </si>
  <si>
    <t xml:space="preserve">DB-04</t>
  </si>
  <si>
    <t xml:space="preserve">Indoor humidity ratio (≈50 % RH @ 24 °C)</t>
  </si>
  <si>
    <t xml:space="preserve">Psychrometric value at 24 °C / 50 % RH.</t>
  </si>
  <si>
    <t xml:space="preserve">GEOMETRY (from GA drawing SWS-2286 Rev 0)</t>
  </si>
  <si>
    <t xml:space="preserve">DB-05</t>
  </si>
  <si>
    <t xml:space="preserve">External length</t>
  </si>
  <si>
    <t xml:space="preserve">m</t>
  </si>
  <si>
    <t xml:space="preserve">GA sheet 1: 12,192 mm.</t>
  </si>
  <si>
    <t xml:space="preserve">DB-06</t>
  </si>
  <si>
    <t xml:space="preserve">External width</t>
  </si>
  <si>
    <t xml:space="preserve">40 ft HC container standard width.</t>
  </si>
  <si>
    <t xml:space="preserve">DB-07</t>
  </si>
  <si>
    <t xml:space="preserve">External height</t>
  </si>
  <si>
    <t xml:space="preserve">GA sheet 1: 2,894 mm.</t>
  </si>
  <si>
    <t xml:space="preserve">DB-08</t>
  </si>
  <si>
    <t xml:space="preserve">Sandwich panel thickness</t>
  </si>
  <si>
    <t xml:space="preserve">Insulated wall/roof panel (assumed 50 mm PU).</t>
  </si>
  <si>
    <t xml:space="preserve">DB-09</t>
  </si>
  <si>
    <t xml:space="preserve">Internal clear height</t>
  </si>
  <si>
    <t xml:space="preserve">Assumed after floor build-up and ceiling panel.</t>
  </si>
  <si>
    <t xml:space="preserve">ENVELOPE</t>
  </si>
  <si>
    <t xml:space="preserve">DB-10</t>
  </si>
  <si>
    <t xml:space="preserve">U-value walls &amp; roof</t>
  </si>
  <si>
    <t xml:space="preserve">W/m²K</t>
  </si>
  <si>
    <t xml:space="preserve">50 mm PU sandwich panel incl. surface films (assumed).</t>
  </si>
  <si>
    <t xml:space="preserve">DB-11</t>
  </si>
  <si>
    <t xml:space="preserve">U-value floor</t>
  </si>
  <si>
    <t xml:space="preserve">Checker plate on insulated floor, shaded by skid (assumed).</t>
  </si>
  <si>
    <t xml:space="preserve">DB-12</t>
  </si>
  <si>
    <t xml:space="preserve">Solar allowance — roof</t>
  </si>
  <si>
    <t xml:space="preserve">K</t>
  </si>
  <si>
    <t xml:space="preserve">Added to ΔT; light-coloured roof (CLTD-simplified).</t>
  </si>
  <si>
    <t xml:space="preserve">DB-13</t>
  </si>
  <si>
    <t xml:space="preserve">Solar allowance — walls</t>
  </si>
  <si>
    <t xml:space="preserve">Added to ΔT; light-coloured walls (CLTD-simplified).</t>
  </si>
  <si>
    <t xml:space="preserve">DB-14</t>
  </si>
  <si>
    <t xml:space="preserve">Thermal bridging / door allowance</t>
  </si>
  <si>
    <t xml:space="preserve">—</t>
  </si>
  <si>
    <t xml:space="preserve">Fraction added to envelope gain.</t>
  </si>
  <si>
    <t xml:space="preserve">INTERNAL GAINS</t>
  </si>
  <si>
    <t xml:space="preserve">DB-15</t>
  </si>
  <si>
    <t xml:space="preserve">Equipment heat dissipation (SCADA panels, UPS, DBs)</t>
  </si>
  <si>
    <t xml:space="preserve">kW</t>
  </si>
  <si>
    <t xml:space="preserve">PLACEHOLDER — replace with electrical heat-dissipation list. Dominant load.</t>
  </si>
  <si>
    <t xml:space="preserve">DB-16</t>
  </si>
  <si>
    <t xml:space="preserve">Lighting power density</t>
  </si>
  <si>
    <t xml:space="preserve">W/m²</t>
  </si>
  <si>
    <t xml:space="preserve">LED lighting.</t>
  </si>
  <si>
    <t xml:space="preserve">DB-17</t>
  </si>
  <si>
    <t xml:space="preserve">Occupants (maintenance)</t>
  </si>
  <si>
    <t xml:space="preserve">persons</t>
  </si>
  <si>
    <t xml:space="preserve">Intermittent occupancy.</t>
  </si>
  <si>
    <t xml:space="preserve">DB-18</t>
  </si>
  <si>
    <t xml:space="preserve">Sensible heat per person</t>
  </si>
  <si>
    <t xml:space="preserve">W</t>
  </si>
  <si>
    <t xml:space="preserve">ASHRAE, seated/light work.</t>
  </si>
  <si>
    <t xml:space="preserve">DB-19</t>
  </si>
  <si>
    <t xml:space="preserve">Latent heat per person</t>
  </si>
  <si>
    <t xml:space="preserve">AIR</t>
  </si>
  <si>
    <t xml:space="preserve">DB-20</t>
  </si>
  <si>
    <t xml:space="preserve">Fresh air per person</t>
  </si>
  <si>
    <t xml:space="preserve">L/s</t>
  </si>
  <si>
    <t xml:space="preserve">Minimum outdoor air for occupants (assumed).</t>
  </si>
  <si>
    <t xml:space="preserve">DB-21</t>
  </si>
  <si>
    <t xml:space="preserve">Infiltration</t>
  </si>
  <si>
    <t xml:space="preserve">ACH</t>
  </si>
  <si>
    <t xml:space="preserve">Tight shelter, positive pressure (assumed).</t>
  </si>
  <si>
    <t xml:space="preserve">SELECTION</t>
  </si>
  <si>
    <t xml:space="preserve">DB-22</t>
  </si>
  <si>
    <t xml:space="preserve">Safety factor on design load</t>
  </si>
  <si>
    <t xml:space="preserve">Design margin.</t>
  </si>
  <si>
    <t xml:space="preserve">DB-23</t>
  </si>
  <si>
    <t xml:space="preserve">Number of A/C units installed</t>
  </si>
  <si>
    <t xml:space="preserve">units</t>
  </si>
  <si>
    <t xml:space="preserve">As built: 3 split A/C units (project scope).</t>
  </si>
  <si>
    <t xml:space="preserve">DB-24</t>
  </si>
  <si>
    <t xml:space="preserve">Standby units (redundancy)</t>
  </si>
  <si>
    <t xml:space="preserve">N+1: one unit on standby / duty rotation.</t>
  </si>
  <si>
    <t xml:space="preserve">DB-25</t>
  </si>
  <si>
    <t xml:space="preserve">Capacity derating at design ambient</t>
  </si>
  <si>
    <t xml:space="preserve">Fraction of nominal (T1) capacity available at design ambient; use T3 (tropical) rated units. Confirm with manufacturer data.</t>
  </si>
  <si>
    <t xml:space="preserve">Cooling load calculation — SCADA Room (steady-state, design day)</t>
  </si>
  <si>
    <t xml:space="preserve">All values in W unless stated. Inputs are linked from the Design Basis sheet (green).</t>
  </si>
  <si>
    <t xml:space="preserve">Item</t>
  </si>
  <si>
    <t xml:space="preserve">Basis</t>
  </si>
  <si>
    <t xml:space="preserve">Quantity</t>
  </si>
  <si>
    <t xml:space="preserve">Sensible (W)</t>
  </si>
  <si>
    <t xml:space="preserve">Latent (W)</t>
  </si>
  <si>
    <t xml:space="preserve">Design ΔT (outdoor − indoor)</t>
  </si>
  <si>
    <t xml:space="preserve">DB-01 − DB-03</t>
  </si>
  <si>
    <t xml:space="preserve">Roof area</t>
  </si>
  <si>
    <t xml:space="preserve">L × W</t>
  </si>
  <si>
    <t xml:space="preserve">m²</t>
  </si>
  <si>
    <t xml:space="preserve">Wall area (long + end walls)</t>
  </si>
  <si>
    <t xml:space="preserve">2(L+W) × H</t>
  </si>
  <si>
    <t xml:space="preserve">Floor area (external)</t>
  </si>
  <si>
    <t xml:space="preserve">Internal floor area</t>
  </si>
  <si>
    <t xml:space="preserve">(L−2t)(W−2t)</t>
  </si>
  <si>
    <t xml:space="preserve">Internal volume</t>
  </si>
  <si>
    <t xml:space="preserve">internal area × clear height</t>
  </si>
  <si>
    <t xml:space="preserve">m³</t>
  </si>
  <si>
    <t xml:space="preserve">Roof conduction + solar</t>
  </si>
  <si>
    <t xml:space="preserve">U × A × (ΔT + solar roof)</t>
  </si>
  <si>
    <t xml:space="preserve">Wall conduction + solar</t>
  </si>
  <si>
    <t xml:space="preserve">U × A × (ΔT + solar walls)</t>
  </si>
  <si>
    <t xml:space="preserve">Floor conduction (shaded)</t>
  </si>
  <si>
    <t xml:space="preserve">U floor × A × ΔT</t>
  </si>
  <si>
    <t xml:space="preserve">Thermal bridging / doors</t>
  </si>
  <si>
    <t xml:space="preserve">allowance × envelope</t>
  </si>
  <si>
    <t xml:space="preserve">Equipment heat dissipation</t>
  </si>
  <si>
    <t xml:space="preserve">DB-15 × 1000</t>
  </si>
  <si>
    <t xml:space="preserve">Lighting</t>
  </si>
  <si>
    <t xml:space="preserve">LPD × internal area</t>
  </si>
  <si>
    <t xml:space="preserve">Occupants</t>
  </si>
  <si>
    <t xml:space="preserve">n × sensible / latent</t>
  </si>
  <si>
    <t xml:space="preserve">Fresh air</t>
  </si>
  <si>
    <t xml:space="preserve">Q = n × L/s; 1.207·Q·ΔT ; 3.0·Q·Δw</t>
  </si>
  <si>
    <t xml:space="preserve">Q = ACH × V / 3.6</t>
  </si>
  <si>
    <t xml:space="preserve">Subtotal</t>
  </si>
  <si>
    <t xml:space="preserve">Safety factor</t>
  </si>
  <si>
    <t xml:space="preserve">DESIGN COOLING LOAD</t>
  </si>
  <si>
    <t xml:space="preserve">Total design load</t>
  </si>
  <si>
    <t xml:space="preserve">TR</t>
  </si>
  <si>
    <t xml:space="preserve">Sensible heat ratio</t>
  </si>
  <si>
    <t xml:space="preserve">Equipment share of load</t>
  </si>
  <si>
    <t xml:space="preserve">Method: simplified steady-state CLTD approach (ASHRAE Fundamentals). Air constants: sensible 1.207 W/(L/s·K), latent 3.0 W/(L/s·g/kg).</t>
  </si>
  <si>
    <t xml:space="preserve">A/C unit selection — N+1 redundancy check</t>
  </si>
  <si>
    <t xml:space="preserve">Design load to cover</t>
  </si>
  <si>
    <t xml:space="preserve">Units installed</t>
  </si>
  <si>
    <t xml:space="preserve">Units running (N = installed − standby)</t>
  </si>
  <si>
    <t xml:space="preserve">Derating at design ambient</t>
  </si>
  <si>
    <t xml:space="preserve">Nominal size (TR)</t>
  </si>
  <si>
    <t xml:space="preserve">Nominal capacity (kW)</t>
  </si>
  <si>
    <t xml:space="preserve">Capacity at design ambient (kW)</t>
  </si>
  <si>
    <t xml:space="preserve">Running units total (kW)</t>
  </si>
  <si>
    <t xml:space="preserve">Covers load with 1 standby?</t>
  </si>
  <si>
    <t xml:space="preserve">Capacity margin</t>
  </si>
  <si>
    <t xml:space="preserve">Selected nominal size per unit</t>
  </si>
  <si>
    <t xml:space="preserve">Selected nominal capacity per unit</t>
  </si>
  <si>
    <t xml:space="preserve">Installed capacity, all units running (at design ambient)</t>
  </si>
  <si>
    <t xml:space="preserve">Capacity with one unit on standby (at design ambient)</t>
  </si>
  <si>
    <t xml:space="preserve">Rule: smallest nominal size whose running units (N) cover the design load at design ambient. Use T3 (tropical) rated, R410A/R32 split units with low-ambient and high-ambient protection.</t>
  </si>
  <si>
    <t xml:space="preserve">HVAC equipment schedule — SCADA Room</t>
  </si>
  <si>
    <t xml:space="preserve">Tag</t>
  </si>
  <si>
    <t xml:space="preserve">Type</t>
  </si>
  <si>
    <t xml:space="preserve">Location (from left end, m)</t>
  </si>
  <si>
    <t xml:space="preserve">Mounting</t>
  </si>
  <si>
    <t xml:space="preserve">Notes</t>
  </si>
  <si>
    <t xml:space="preserve">AC-01-IDU</t>
  </si>
  <si>
    <t xml:space="preserve">Split A/C — indoor unit</t>
  </si>
  <si>
    <t xml:space="preserve">Wall-mounted split indoor unit, high level (≈2.2 m)</t>
  </si>
  <si>
    <t xml:space="preserve">Lead/lag rotation; F&amp;G trip on fire alarm</t>
  </si>
  <si>
    <t xml:space="preserve">AC-01-ODU</t>
  </si>
  <si>
    <t xml:space="preserve">Split A/C — outdoor condensing unit</t>
  </si>
  <si>
    <t xml:space="preserve">External wall bracket, galvanised mesh guard (per GA)</t>
  </si>
  <si>
    <t xml:space="preserve">T3 rated; condensate &amp; refrigerant via sealed wall sleeve</t>
  </si>
  <si>
    <t xml:space="preserve">AC-02-IDU</t>
  </si>
  <si>
    <t xml:space="preserve">AC-02-ODU</t>
  </si>
  <si>
    <t xml:space="preserve">AC-03-IDU</t>
  </si>
  <si>
    <t xml:space="preserve">AC-03-ODU</t>
  </si>
  <si>
    <t xml:space="preserve">CTRL-01</t>
  </si>
  <si>
    <t xml:space="preserve">Lead/lag (duty-standby) controller with room thermostat</t>
  </si>
  <si>
    <t xml:space="preserve">Inside, next to entrance door, 1.5 m AFL</t>
  </si>
  <si>
    <t xml:space="preserve">Rotates duty unit every 24 h; starts standby on high temperature (28 °C) or unit fault; alarm to SCADA</t>
  </si>
  <si>
    <t xml:space="preserve">Unit positions measured from the A/C outdoor openings on GA sheet 1 elevation (SWS-2286 Rev 0); confirm on site.</t>
  </si>
  <si>
    <t xml:space="preserve">Notes &amp; assumptions</t>
  </si>
  <si>
    <t xml:space="preserve">1. SCOPE: Cooling load and A/C sizing for the 40 ft high-cube SCADA Room E-House (one of three E-Houses in the package).</t>
  </si>
  <si>
    <t xml:space="preserve">2. GEOMETRY from GA drawing SWS-2286 Rev 0 (sheets 1–2), issued 22 Sep 2026.</t>
  </si>
  <si>
    <t xml:space="preserve">3. KEY ASSUMPTIONS (yellow on Design Basis) must be confirmed: outdoor design condition, panel U-values, equipment heat dissipation and unit derating.</t>
  </si>
  <si>
    <t xml:space="preserve">4. EQUIPMENT HEAT DISSIPATION is a placeholder (6.0 kW). It is the dominant load (see Heat Load!C27). Replace with the panel vendor heat-dissipation list.</t>
  </si>
  <si>
    <t xml:space="preserve">5. REDUNDANCY: N+1 — any two units must hold the room at 24 °C at design ambient with one unit failed or on standby.</t>
  </si>
  <si>
    <t xml:space="preserve">6. UNITS: T3 (tropical) rated split units, R410A or R32, epoxy/Blue-fin coated condenser coils for coastal environment, low-ambient kit, auto-restart after power loss.</t>
  </si>
  <si>
    <t xml:space="preserve">7. CONTROLS: lead/lag controller; F&amp;G system trips all A/C units on confirmed fire (per project F&amp;G philosophy); common alarm to SCADA.</t>
  </si>
  <si>
    <t xml:space="preserve">8. CONDENSATE: each IDU drained by gravity (min 1:100 fall) to outside through sealed sleeve, discharged clear of the skid and cable trays.</t>
  </si>
  <si>
    <t xml:space="preserve">9. This workbook is a design-check tool, not a stamped engineering calculation. Status: FOR REVIEW.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</si>
</sst>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%"/>
    <numFmt numFmtId="166" formatCode="#,##0.00"/>
    <numFmt numFmtId="167" formatCode="#,##0"/>
    <numFmt numFmtId="168" formatCode="0.00"/>
    <numFmt numFmtId="169" formatCode="General"/>
    <numFmt numFmtId="170" formatCode="0.0"/>
    <numFmt numFmtId="171" formatCode="0.0&quot; TR&quot;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000000"/>
      <name val="Arial"/>
      <family val="0"/>
      <charset val="1"/>
    </font>
    <font>
      <i val="true"/>
      <sz val="9"/>
      <color rgb="FF000000"/>
      <name val="Arial"/>
      <family val="0"/>
      <charset val="1"/>
    </font>
    <font>
      <b val="true"/>
      <sz val="9"/>
      <color rgb="FFC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2"/>
      <color rgb="FF000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B2B2B"/>
        <bgColor rgb="FF333300"/>
      </patternFill>
    </fill>
    <fill>
      <patternFill patternType="solid">
        <fgColor rgb="FFEFEAE0"/>
        <bgColor rgb="FFFFFFFF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3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70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FEAE0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B2B2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6"/>
    <col collapsed="false" customWidth="true" hidden="false" outlineLevel="0" max="3" min="3" style="0" width="11"/>
    <col collapsed="false" customWidth="true" hidden="false" outlineLevel="0" max="4" min="4" style="0" width="9"/>
    <col collapsed="false" customWidth="true" hidden="false" outlineLevel="0" max="5" min="5" style="0" width="95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5" customFormat="false" ht="15" hidden="false" customHeight="fals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customFormat="false" ht="15" hidden="false" customHeight="false" outlineLevel="0" collapsed="false">
      <c r="A6" s="5"/>
      <c r="B6" s="6" t="s">
        <v>8</v>
      </c>
      <c r="C6" s="5"/>
      <c r="D6" s="5"/>
      <c r="E6" s="5"/>
    </row>
    <row r="7" customFormat="false" ht="15" hidden="false" customHeight="false" outlineLevel="0" collapsed="false">
      <c r="A7" s="7" t="s">
        <v>9</v>
      </c>
      <c r="B7" s="8" t="s">
        <v>10</v>
      </c>
      <c r="C7" s="9" t="n">
        <v>50</v>
      </c>
      <c r="D7" s="7" t="s">
        <v>11</v>
      </c>
      <c r="E7" s="7" t="s">
        <v>12</v>
      </c>
    </row>
    <row r="8" customFormat="false" ht="15" hidden="false" customHeight="false" outlineLevel="0" collapsed="false">
      <c r="A8" s="7" t="s">
        <v>13</v>
      </c>
      <c r="B8" s="8" t="s">
        <v>14</v>
      </c>
      <c r="C8" s="9" t="n">
        <v>22</v>
      </c>
      <c r="D8" s="7" t="s">
        <v>15</v>
      </c>
      <c r="E8" s="7" t="s">
        <v>16</v>
      </c>
    </row>
    <row r="9" customFormat="false" ht="15" hidden="false" customHeight="false" outlineLevel="0" collapsed="false">
      <c r="A9" s="7" t="s">
        <v>17</v>
      </c>
      <c r="B9" s="8" t="s">
        <v>18</v>
      </c>
      <c r="C9" s="10" t="n">
        <v>24</v>
      </c>
      <c r="D9" s="7" t="s">
        <v>11</v>
      </c>
      <c r="E9" s="7" t="s">
        <v>19</v>
      </c>
    </row>
    <row r="10" customFormat="false" ht="15" hidden="false" customHeight="false" outlineLevel="0" collapsed="false">
      <c r="A10" s="7" t="s">
        <v>20</v>
      </c>
      <c r="B10" s="8" t="s">
        <v>21</v>
      </c>
      <c r="C10" s="10" t="n">
        <v>9.3</v>
      </c>
      <c r="D10" s="7" t="s">
        <v>15</v>
      </c>
      <c r="E10" s="7" t="s">
        <v>22</v>
      </c>
    </row>
    <row r="11" customFormat="false" ht="15" hidden="false" customHeight="false" outlineLevel="0" collapsed="false">
      <c r="A11" s="5"/>
      <c r="B11" s="6" t="s">
        <v>23</v>
      </c>
      <c r="C11" s="5"/>
      <c r="D11" s="5"/>
      <c r="E11" s="5"/>
    </row>
    <row r="12" customFormat="false" ht="15" hidden="false" customHeight="false" outlineLevel="0" collapsed="false">
      <c r="A12" s="7" t="s">
        <v>24</v>
      </c>
      <c r="B12" s="8" t="s">
        <v>25</v>
      </c>
      <c r="C12" s="10" t="n">
        <v>12.192</v>
      </c>
      <c r="D12" s="7" t="s">
        <v>26</v>
      </c>
      <c r="E12" s="7" t="s">
        <v>27</v>
      </c>
    </row>
    <row r="13" customFormat="false" ht="15" hidden="false" customHeight="false" outlineLevel="0" collapsed="false">
      <c r="A13" s="7" t="s">
        <v>28</v>
      </c>
      <c r="B13" s="8" t="s">
        <v>29</v>
      </c>
      <c r="C13" s="10" t="n">
        <v>2.438</v>
      </c>
      <c r="D13" s="7" t="s">
        <v>26</v>
      </c>
      <c r="E13" s="7" t="s">
        <v>30</v>
      </c>
    </row>
    <row r="14" customFormat="false" ht="15" hidden="false" customHeight="false" outlineLevel="0" collapsed="false">
      <c r="A14" s="7" t="s">
        <v>31</v>
      </c>
      <c r="B14" s="8" t="s">
        <v>32</v>
      </c>
      <c r="C14" s="10" t="n">
        <v>2.894</v>
      </c>
      <c r="D14" s="7" t="s">
        <v>26</v>
      </c>
      <c r="E14" s="7" t="s">
        <v>33</v>
      </c>
    </row>
    <row r="15" customFormat="false" ht="15" hidden="false" customHeight="false" outlineLevel="0" collapsed="false">
      <c r="A15" s="7" t="s">
        <v>34</v>
      </c>
      <c r="B15" s="8" t="s">
        <v>35</v>
      </c>
      <c r="C15" s="9" t="n">
        <v>0.05</v>
      </c>
      <c r="D15" s="7" t="s">
        <v>26</v>
      </c>
      <c r="E15" s="7" t="s">
        <v>36</v>
      </c>
    </row>
    <row r="16" customFormat="false" ht="15" hidden="false" customHeight="false" outlineLevel="0" collapsed="false">
      <c r="A16" s="7" t="s">
        <v>37</v>
      </c>
      <c r="B16" s="8" t="s">
        <v>38</v>
      </c>
      <c r="C16" s="9" t="n">
        <v>2.55</v>
      </c>
      <c r="D16" s="7" t="s">
        <v>26</v>
      </c>
      <c r="E16" s="7" t="s">
        <v>39</v>
      </c>
    </row>
    <row r="17" customFormat="false" ht="15" hidden="false" customHeight="false" outlineLevel="0" collapsed="false">
      <c r="A17" s="5"/>
      <c r="B17" s="6" t="s">
        <v>40</v>
      </c>
      <c r="C17" s="5"/>
      <c r="D17" s="5"/>
      <c r="E17" s="5"/>
    </row>
    <row r="18" customFormat="false" ht="15" hidden="false" customHeight="false" outlineLevel="0" collapsed="false">
      <c r="A18" s="7" t="s">
        <v>41</v>
      </c>
      <c r="B18" s="8" t="s">
        <v>42</v>
      </c>
      <c r="C18" s="9" t="n">
        <v>0.45</v>
      </c>
      <c r="D18" s="7" t="s">
        <v>43</v>
      </c>
      <c r="E18" s="7" t="s">
        <v>44</v>
      </c>
    </row>
    <row r="19" customFormat="false" ht="15" hidden="false" customHeight="false" outlineLevel="0" collapsed="false">
      <c r="A19" s="7" t="s">
        <v>45</v>
      </c>
      <c r="B19" s="8" t="s">
        <v>46</v>
      </c>
      <c r="C19" s="9" t="n">
        <v>0.6</v>
      </c>
      <c r="D19" s="7" t="s">
        <v>43</v>
      </c>
      <c r="E19" s="7" t="s">
        <v>47</v>
      </c>
    </row>
    <row r="20" customFormat="false" ht="15" hidden="false" customHeight="false" outlineLevel="0" collapsed="false">
      <c r="A20" s="7" t="s">
        <v>48</v>
      </c>
      <c r="B20" s="8" t="s">
        <v>49</v>
      </c>
      <c r="C20" s="10" t="n">
        <v>20</v>
      </c>
      <c r="D20" s="7" t="s">
        <v>50</v>
      </c>
      <c r="E20" s="7" t="s">
        <v>51</v>
      </c>
    </row>
    <row r="21" customFormat="false" ht="15" hidden="false" customHeight="false" outlineLevel="0" collapsed="false">
      <c r="A21" s="7" t="s">
        <v>52</v>
      </c>
      <c r="B21" s="8" t="s">
        <v>53</v>
      </c>
      <c r="C21" s="10" t="n">
        <v>10</v>
      </c>
      <c r="D21" s="7" t="s">
        <v>50</v>
      </c>
      <c r="E21" s="7" t="s">
        <v>54</v>
      </c>
    </row>
    <row r="22" customFormat="false" ht="15" hidden="false" customHeight="false" outlineLevel="0" collapsed="false">
      <c r="A22" s="7" t="s">
        <v>55</v>
      </c>
      <c r="B22" s="8" t="s">
        <v>56</v>
      </c>
      <c r="C22" s="11" t="n">
        <v>0.1</v>
      </c>
      <c r="D22" s="7" t="s">
        <v>57</v>
      </c>
      <c r="E22" s="7" t="s">
        <v>58</v>
      </c>
    </row>
    <row r="23" customFormat="false" ht="15" hidden="false" customHeight="false" outlineLevel="0" collapsed="false">
      <c r="A23" s="5"/>
      <c r="B23" s="6" t="s">
        <v>59</v>
      </c>
      <c r="C23" s="5"/>
      <c r="D23" s="5"/>
      <c r="E23" s="5"/>
    </row>
    <row r="24" customFormat="false" ht="15" hidden="false" customHeight="false" outlineLevel="0" collapsed="false">
      <c r="A24" s="7" t="s">
        <v>60</v>
      </c>
      <c r="B24" s="8" t="s">
        <v>61</v>
      </c>
      <c r="C24" s="9" t="n">
        <v>6</v>
      </c>
      <c r="D24" s="7" t="s">
        <v>62</v>
      </c>
      <c r="E24" s="7" t="s">
        <v>63</v>
      </c>
    </row>
    <row r="25" customFormat="false" ht="15" hidden="false" customHeight="false" outlineLevel="0" collapsed="false">
      <c r="A25" s="7" t="s">
        <v>64</v>
      </c>
      <c r="B25" s="8" t="s">
        <v>65</v>
      </c>
      <c r="C25" s="10" t="n">
        <v>10</v>
      </c>
      <c r="D25" s="7" t="s">
        <v>66</v>
      </c>
      <c r="E25" s="7" t="s">
        <v>67</v>
      </c>
    </row>
    <row r="26" customFormat="false" ht="15" hidden="false" customHeight="false" outlineLevel="0" collapsed="false">
      <c r="A26" s="7" t="s">
        <v>68</v>
      </c>
      <c r="B26" s="8" t="s">
        <v>69</v>
      </c>
      <c r="C26" s="10" t="n">
        <v>2</v>
      </c>
      <c r="D26" s="7" t="s">
        <v>70</v>
      </c>
      <c r="E26" s="7" t="s">
        <v>71</v>
      </c>
    </row>
    <row r="27" customFormat="false" ht="15" hidden="false" customHeight="false" outlineLevel="0" collapsed="false">
      <c r="A27" s="7" t="s">
        <v>72</v>
      </c>
      <c r="B27" s="8" t="s">
        <v>73</v>
      </c>
      <c r="C27" s="10" t="n">
        <v>75</v>
      </c>
      <c r="D27" s="7" t="s">
        <v>74</v>
      </c>
      <c r="E27" s="7" t="s">
        <v>75</v>
      </c>
    </row>
    <row r="28" customFormat="false" ht="15" hidden="false" customHeight="false" outlineLevel="0" collapsed="false">
      <c r="A28" s="7" t="s">
        <v>76</v>
      </c>
      <c r="B28" s="8" t="s">
        <v>77</v>
      </c>
      <c r="C28" s="10" t="n">
        <v>55</v>
      </c>
      <c r="D28" s="7" t="s">
        <v>74</v>
      </c>
      <c r="E28" s="7" t="s">
        <v>75</v>
      </c>
    </row>
    <row r="29" customFormat="false" ht="15" hidden="false" customHeight="false" outlineLevel="0" collapsed="false">
      <c r="A29" s="5"/>
      <c r="B29" s="6" t="s">
        <v>78</v>
      </c>
      <c r="C29" s="5"/>
      <c r="D29" s="5"/>
      <c r="E29" s="5"/>
    </row>
    <row r="30" customFormat="false" ht="15" hidden="false" customHeight="false" outlineLevel="0" collapsed="false">
      <c r="A30" s="7" t="s">
        <v>79</v>
      </c>
      <c r="B30" s="8" t="s">
        <v>80</v>
      </c>
      <c r="C30" s="10" t="n">
        <v>10</v>
      </c>
      <c r="D30" s="7" t="s">
        <v>81</v>
      </c>
      <c r="E30" s="7" t="s">
        <v>82</v>
      </c>
    </row>
    <row r="31" customFormat="false" ht="15" hidden="false" customHeight="false" outlineLevel="0" collapsed="false">
      <c r="A31" s="7" t="s">
        <v>83</v>
      </c>
      <c r="B31" s="8" t="s">
        <v>84</v>
      </c>
      <c r="C31" s="10" t="n">
        <v>0.3</v>
      </c>
      <c r="D31" s="7" t="s">
        <v>85</v>
      </c>
      <c r="E31" s="7" t="s">
        <v>86</v>
      </c>
    </row>
    <row r="32" customFormat="false" ht="15" hidden="false" customHeight="false" outlineLevel="0" collapsed="false">
      <c r="A32" s="5"/>
      <c r="B32" s="6" t="s">
        <v>87</v>
      </c>
      <c r="C32" s="5"/>
      <c r="D32" s="5"/>
      <c r="E32" s="5"/>
    </row>
    <row r="33" customFormat="false" ht="15" hidden="false" customHeight="false" outlineLevel="0" collapsed="false">
      <c r="A33" s="7" t="s">
        <v>88</v>
      </c>
      <c r="B33" s="8" t="s">
        <v>89</v>
      </c>
      <c r="C33" s="11" t="n">
        <v>0.1</v>
      </c>
      <c r="D33" s="7" t="s">
        <v>57</v>
      </c>
      <c r="E33" s="7" t="s">
        <v>90</v>
      </c>
    </row>
    <row r="34" customFormat="false" ht="15" hidden="false" customHeight="false" outlineLevel="0" collapsed="false">
      <c r="A34" s="7" t="s">
        <v>91</v>
      </c>
      <c r="B34" s="8" t="s">
        <v>92</v>
      </c>
      <c r="C34" s="10" t="n">
        <v>3</v>
      </c>
      <c r="D34" s="7" t="s">
        <v>93</v>
      </c>
      <c r="E34" s="7" t="s">
        <v>94</v>
      </c>
    </row>
    <row r="35" customFormat="false" ht="15" hidden="false" customHeight="false" outlineLevel="0" collapsed="false">
      <c r="A35" s="7" t="s">
        <v>95</v>
      </c>
      <c r="B35" s="8" t="s">
        <v>96</v>
      </c>
      <c r="C35" s="10" t="n">
        <v>1</v>
      </c>
      <c r="D35" s="7" t="s">
        <v>93</v>
      </c>
      <c r="E35" s="7" t="s">
        <v>97</v>
      </c>
    </row>
    <row r="36" customFormat="false" ht="15" hidden="false" customHeight="false" outlineLevel="0" collapsed="false">
      <c r="A36" s="7" t="s">
        <v>98</v>
      </c>
      <c r="B36" s="8" t="s">
        <v>99</v>
      </c>
      <c r="C36" s="12" t="n">
        <v>0.8</v>
      </c>
      <c r="D36" s="7" t="s">
        <v>57</v>
      </c>
      <c r="E36" s="7" t="s">
        <v>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40"/>
    <col collapsed="false" customWidth="true" hidden="false" outlineLevel="0" max="3" min="3" style="0" width="12"/>
    <col collapsed="false" customWidth="true" hidden="false" outlineLevel="0" max="4" min="4" style="0" width="7"/>
    <col collapsed="false" customWidth="true" hidden="false" outlineLevel="0" max="6" min="5" style="0" width="14"/>
  </cols>
  <sheetData>
    <row r="1" customFormat="false" ht="16.15" hidden="false" customHeight="false" outlineLevel="0" collapsed="false">
      <c r="A1" s="1" t="s">
        <v>101</v>
      </c>
    </row>
    <row r="2" customFormat="false" ht="15" hidden="false" customHeight="false" outlineLevel="0" collapsed="false">
      <c r="A2" s="2" t="s">
        <v>102</v>
      </c>
    </row>
    <row r="4" customFormat="false" ht="15" hidden="false" customHeight="false" outlineLevel="0" collapsed="false">
      <c r="A4" s="4" t="s">
        <v>103</v>
      </c>
      <c r="B4" s="4" t="s">
        <v>104</v>
      </c>
      <c r="C4" s="4" t="s">
        <v>105</v>
      </c>
      <c r="D4" s="4" t="s">
        <v>6</v>
      </c>
      <c r="E4" s="4" t="s">
        <v>106</v>
      </c>
      <c r="F4" s="4" t="s">
        <v>107</v>
      </c>
    </row>
    <row r="5" customFormat="false" ht="15" hidden="false" customHeight="false" outlineLevel="0" collapsed="false">
      <c r="A5" s="8" t="s">
        <v>108</v>
      </c>
      <c r="B5" s="7" t="s">
        <v>109</v>
      </c>
      <c r="C5" s="13" t="n">
        <f aca="false">('Design Basis'!$C$7-'Design Basis'!$C$9)</f>
        <v>26</v>
      </c>
      <c r="D5" s="7" t="s">
        <v>50</v>
      </c>
    </row>
    <row r="6" customFormat="false" ht="15" hidden="false" customHeight="false" outlineLevel="0" collapsed="false">
      <c r="A6" s="8" t="s">
        <v>110</v>
      </c>
      <c r="B6" s="7" t="s">
        <v>111</v>
      </c>
      <c r="C6" s="13" t="n">
        <f aca="false">'Design Basis'!$C$12*'Design Basis'!$C$13</f>
        <v>29.724096</v>
      </c>
      <c r="D6" s="7" t="s">
        <v>112</v>
      </c>
    </row>
    <row r="7" customFormat="false" ht="15" hidden="false" customHeight="false" outlineLevel="0" collapsed="false">
      <c r="A7" s="8" t="s">
        <v>113</v>
      </c>
      <c r="B7" s="7" t="s">
        <v>114</v>
      </c>
      <c r="C7" s="13" t="n">
        <f aca="false">2*('Design Basis'!$C$12+'Design Basis'!$C$13)*'Design Basis'!$C$14</f>
        <v>84.67844</v>
      </c>
      <c r="D7" s="7" t="s">
        <v>112</v>
      </c>
    </row>
    <row r="8" customFormat="false" ht="15" hidden="false" customHeight="false" outlineLevel="0" collapsed="false">
      <c r="A8" s="8" t="s">
        <v>115</v>
      </c>
      <c r="B8" s="7" t="s">
        <v>111</v>
      </c>
      <c r="C8" s="13" t="n">
        <f aca="false">'Design Basis'!$C$12*'Design Basis'!$C$13</f>
        <v>29.724096</v>
      </c>
      <c r="D8" s="7" t="s">
        <v>112</v>
      </c>
    </row>
    <row r="9" customFormat="false" ht="15" hidden="false" customHeight="false" outlineLevel="0" collapsed="false">
      <c r="A9" s="8" t="s">
        <v>116</v>
      </c>
      <c r="B9" s="7" t="s">
        <v>117</v>
      </c>
      <c r="C9" s="13" t="n">
        <f aca="false">('Design Basis'!$C$12-2*'Design Basis'!$C$15)*('Design Basis'!$C$13-2*'Design Basis'!$C$15)</f>
        <v>28.271096</v>
      </c>
      <c r="D9" s="7" t="s">
        <v>112</v>
      </c>
    </row>
    <row r="10" customFormat="false" ht="15" hidden="false" customHeight="false" outlineLevel="0" collapsed="false">
      <c r="A10" s="8" t="s">
        <v>118</v>
      </c>
      <c r="B10" s="7" t="s">
        <v>119</v>
      </c>
      <c r="C10" s="13" t="n">
        <f aca="false">C9*'Design Basis'!$C$16</f>
        <v>72.0912948</v>
      </c>
      <c r="D10" s="7" t="s">
        <v>120</v>
      </c>
    </row>
    <row r="11" customFormat="false" ht="15" hidden="false" customHeight="false" outlineLevel="0" collapsed="false">
      <c r="A11" s="8" t="s">
        <v>121</v>
      </c>
      <c r="B11" s="7" t="s">
        <v>122</v>
      </c>
      <c r="E11" s="14" t="n">
        <f aca="false">'Design Basis'!$C$18*C6*(C5+'Design Basis'!$C$20)</f>
        <v>615.2887872</v>
      </c>
      <c r="F11" s="15" t="n">
        <v>0</v>
      </c>
    </row>
    <row r="12" customFormat="false" ht="15" hidden="false" customHeight="false" outlineLevel="0" collapsed="false">
      <c r="A12" s="8" t="s">
        <v>123</v>
      </c>
      <c r="B12" s="7" t="s">
        <v>124</v>
      </c>
      <c r="E12" s="14" t="n">
        <f aca="false">'Design Basis'!$C$18*C7*(C5+'Design Basis'!$C$21)</f>
        <v>1371.790728</v>
      </c>
      <c r="F12" s="15" t="n">
        <v>0</v>
      </c>
    </row>
    <row r="13" customFormat="false" ht="15" hidden="false" customHeight="false" outlineLevel="0" collapsed="false">
      <c r="A13" s="8" t="s">
        <v>125</v>
      </c>
      <c r="B13" s="7" t="s">
        <v>126</v>
      </c>
      <c r="E13" s="14" t="n">
        <f aca="false">'Design Basis'!$C$19*C8*C5</f>
        <v>463.6958976</v>
      </c>
      <c r="F13" s="15" t="n">
        <v>0</v>
      </c>
    </row>
    <row r="14" customFormat="false" ht="15" hidden="false" customHeight="false" outlineLevel="0" collapsed="false">
      <c r="A14" s="8" t="s">
        <v>127</v>
      </c>
      <c r="B14" s="7" t="s">
        <v>128</v>
      </c>
      <c r="E14" s="14" t="n">
        <f aca="false">'Design Basis'!$C$22*SUM(E11:E13)</f>
        <v>245.07754128</v>
      </c>
      <c r="F14" s="15" t="n">
        <v>0</v>
      </c>
    </row>
    <row r="15" customFormat="false" ht="15" hidden="false" customHeight="false" outlineLevel="0" collapsed="false">
      <c r="A15" s="8" t="s">
        <v>129</v>
      </c>
      <c r="B15" s="7" t="s">
        <v>130</v>
      </c>
      <c r="E15" s="14" t="n">
        <f aca="false">'Design Basis'!$C$24*1000</f>
        <v>6000</v>
      </c>
      <c r="F15" s="15" t="n">
        <v>0</v>
      </c>
    </row>
    <row r="16" customFormat="false" ht="15" hidden="false" customHeight="false" outlineLevel="0" collapsed="false">
      <c r="A16" s="8" t="s">
        <v>131</v>
      </c>
      <c r="B16" s="7" t="s">
        <v>132</v>
      </c>
      <c r="E16" s="14" t="n">
        <f aca="false">'Design Basis'!$C$25*C9</f>
        <v>282.71096</v>
      </c>
      <c r="F16" s="15" t="n">
        <v>0</v>
      </c>
    </row>
    <row r="17" customFormat="false" ht="15" hidden="false" customHeight="false" outlineLevel="0" collapsed="false">
      <c r="A17" s="8" t="s">
        <v>133</v>
      </c>
      <c r="B17" s="7" t="s">
        <v>134</v>
      </c>
      <c r="E17" s="14" t="n">
        <f aca="false">'Design Basis'!$C$26*'Design Basis'!$C$27</f>
        <v>150</v>
      </c>
      <c r="F17" s="14" t="n">
        <f aca="false">'Design Basis'!$C$26*'Design Basis'!$C$28</f>
        <v>110</v>
      </c>
    </row>
    <row r="18" customFormat="false" ht="15" hidden="false" customHeight="false" outlineLevel="0" collapsed="false">
      <c r="A18" s="8" t="s">
        <v>135</v>
      </c>
      <c r="B18" s="7" t="s">
        <v>136</v>
      </c>
      <c r="C18" s="13" t="n">
        <f aca="false">'Design Basis'!$C$26*'Design Basis'!$C$30</f>
        <v>20</v>
      </c>
      <c r="D18" s="7" t="s">
        <v>81</v>
      </c>
      <c r="E18" s="15" t="n">
        <f aca="false">1.207*C18*C5</f>
        <v>627.64</v>
      </c>
      <c r="F18" s="14" t="n">
        <f aca="false">3*C18*('Design Basis'!$C$8-'Design Basis'!$C$10)</f>
        <v>762</v>
      </c>
    </row>
    <row r="19" customFormat="false" ht="15" hidden="false" customHeight="false" outlineLevel="0" collapsed="false">
      <c r="A19" s="8" t="s">
        <v>84</v>
      </c>
      <c r="B19" s="7" t="s">
        <v>137</v>
      </c>
      <c r="C19" s="13" t="n">
        <f aca="false">'Design Basis'!$C$31*C10/3.6</f>
        <v>6.0076079</v>
      </c>
      <c r="D19" s="7" t="s">
        <v>81</v>
      </c>
      <c r="E19" s="15" t="n">
        <f aca="false">1.207*C19*C5</f>
        <v>188.5307511178</v>
      </c>
      <c r="F19" s="14" t="n">
        <f aca="false">3*C19*('Design Basis'!$C$8-'Design Basis'!$C$10)</f>
        <v>228.88986099</v>
      </c>
    </row>
    <row r="20" customFormat="false" ht="15" hidden="false" customHeight="false" outlineLevel="0" collapsed="false">
      <c r="A20" s="16" t="s">
        <v>138</v>
      </c>
      <c r="E20" s="17" t="n">
        <f aca="false">SUM(E11:E19)</f>
        <v>9944.7346651978</v>
      </c>
      <c r="F20" s="17" t="n">
        <f aca="false">SUM(F11:F19)</f>
        <v>1100.88986099</v>
      </c>
    </row>
    <row r="21" customFormat="false" ht="15" hidden="false" customHeight="false" outlineLevel="0" collapsed="false">
      <c r="A21" s="16" t="s">
        <v>139</v>
      </c>
      <c r="B21" s="7" t="s">
        <v>88</v>
      </c>
      <c r="E21" s="17" t="n">
        <f aca="false">E20*'Design Basis'!$C$33</f>
        <v>994.47346651978</v>
      </c>
      <c r="F21" s="17" t="n">
        <f aca="false">F20*'Design Basis'!$C$33</f>
        <v>110.088986099</v>
      </c>
    </row>
    <row r="22" customFormat="false" ht="15" hidden="false" customHeight="false" outlineLevel="0" collapsed="false">
      <c r="A22" s="16" t="s">
        <v>140</v>
      </c>
      <c r="E22" s="17" t="n">
        <f aca="false">E20+E21</f>
        <v>10939.2081317176</v>
      </c>
      <c r="F22" s="17" t="n">
        <f aca="false">F20+F21</f>
        <v>1210.978847089</v>
      </c>
    </row>
    <row r="24" customFormat="false" ht="15" hidden="false" customHeight="false" outlineLevel="0" collapsed="false">
      <c r="A24" s="16" t="s">
        <v>141</v>
      </c>
      <c r="C24" s="18" t="n">
        <f aca="false">(E22+F22)/1000</f>
        <v>12.1501869788066</v>
      </c>
      <c r="D24" s="19" t="s">
        <v>62</v>
      </c>
    </row>
    <row r="25" customFormat="false" ht="15" hidden="false" customHeight="false" outlineLevel="0" collapsed="false">
      <c r="A25" s="16" t="s">
        <v>141</v>
      </c>
      <c r="C25" s="18" t="n">
        <f aca="false">C24/3.517</f>
        <v>3.45470201274</v>
      </c>
      <c r="D25" s="19" t="s">
        <v>142</v>
      </c>
    </row>
    <row r="26" customFormat="false" ht="15" hidden="false" customHeight="false" outlineLevel="0" collapsed="false">
      <c r="A26" s="0" t="s">
        <v>143</v>
      </c>
      <c r="C26" s="20" t="n">
        <f aca="false">IFERROR(E22/(E22+F22),0)</f>
        <v>0.900332492890744</v>
      </c>
    </row>
    <row r="27" customFormat="false" ht="15" hidden="false" customHeight="false" outlineLevel="0" collapsed="false">
      <c r="A27" s="0" t="s">
        <v>144</v>
      </c>
      <c r="C27" s="21" t="n">
        <f aca="false">IFERROR(E15*(1+'Design Basis'!$C$33)/(E22+F22),0)</f>
        <v>0.543201517105235</v>
      </c>
    </row>
    <row r="29" customFormat="false" ht="15" hidden="false" customHeight="false" outlineLevel="0" collapsed="false">
      <c r="A29" s="2" t="s">
        <v>145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6"/>
    <col collapsed="false" customWidth="true" hidden="false" outlineLevel="0" max="3" min="3" style="0" width="20"/>
    <col collapsed="false" customWidth="true" hidden="false" outlineLevel="0" max="5" min="4" style="0" width="18"/>
    <col collapsed="false" customWidth="true" hidden="false" outlineLevel="0" max="6" min="6" style="0" width="14"/>
  </cols>
  <sheetData>
    <row r="1" customFormat="false" ht="16.15" hidden="false" customHeight="false" outlineLevel="0" collapsed="false">
      <c r="A1" s="1" t="s">
        <v>146</v>
      </c>
    </row>
    <row r="3" customFormat="false" ht="15" hidden="false" customHeight="false" outlineLevel="0" collapsed="false">
      <c r="A3" s="0" t="s">
        <v>147</v>
      </c>
      <c r="C3" s="22" t="n">
        <f aca="false">'Heat Load'!C24</f>
        <v>12.1501869788066</v>
      </c>
      <c r="D3" s="19" t="s">
        <v>62</v>
      </c>
    </row>
    <row r="4" customFormat="false" ht="15" hidden="false" customHeight="false" outlineLevel="0" collapsed="false">
      <c r="A4" s="0" t="s">
        <v>148</v>
      </c>
      <c r="C4" s="23" t="n">
        <f aca="false">'Design Basis'!$C$34</f>
        <v>3</v>
      </c>
    </row>
    <row r="5" customFormat="false" ht="15" hidden="false" customHeight="false" outlineLevel="0" collapsed="false">
      <c r="A5" s="0" t="s">
        <v>149</v>
      </c>
      <c r="C5" s="23" t="n">
        <f aca="false">'Design Basis'!$C$34-'Design Basis'!$C$35</f>
        <v>2</v>
      </c>
    </row>
    <row r="6" customFormat="false" ht="15" hidden="false" customHeight="false" outlineLevel="0" collapsed="false">
      <c r="A6" s="0" t="s">
        <v>150</v>
      </c>
      <c r="C6" s="24" t="n">
        <f aca="false">'Design Basis'!$C$36</f>
        <v>0.8</v>
      </c>
    </row>
    <row r="8" customFormat="false" ht="42" hidden="false" customHeight="true" outlineLevel="0" collapsed="false">
      <c r="A8" s="25" t="s">
        <v>151</v>
      </c>
      <c r="B8" s="25" t="s">
        <v>152</v>
      </c>
      <c r="C8" s="25" t="s">
        <v>153</v>
      </c>
      <c r="D8" s="25" t="s">
        <v>154</v>
      </c>
      <c r="E8" s="25" t="s">
        <v>155</v>
      </c>
      <c r="F8" s="25" t="s">
        <v>156</v>
      </c>
    </row>
    <row r="9" customFormat="false" ht="15" hidden="false" customHeight="false" outlineLevel="0" collapsed="false">
      <c r="A9" s="26" t="n">
        <v>1.5</v>
      </c>
      <c r="B9" s="20" t="n">
        <f aca="false">A9*3.517</f>
        <v>5.2755</v>
      </c>
      <c r="C9" s="20" t="n">
        <f aca="false">B9*$C$6</f>
        <v>4.2204</v>
      </c>
      <c r="D9" s="20" t="n">
        <f aca="false">C9*$C$5</f>
        <v>8.4408</v>
      </c>
      <c r="E9" s="0" t="str">
        <f aca="false">IF(D9&gt;=$C$3,"YES","NO")</f>
        <v>NO</v>
      </c>
      <c r="F9" s="21" t="n">
        <f aca="false">IFERROR(D9/$C$3-1,0)</f>
        <v>-0.305294641578506</v>
      </c>
    </row>
    <row r="10" customFormat="false" ht="15" hidden="false" customHeight="false" outlineLevel="0" collapsed="false">
      <c r="A10" s="26" t="n">
        <v>2</v>
      </c>
      <c r="B10" s="20" t="n">
        <f aca="false">A10*3.517</f>
        <v>7.034</v>
      </c>
      <c r="C10" s="20" t="n">
        <f aca="false">B10*$C$6</f>
        <v>5.6272</v>
      </c>
      <c r="D10" s="20" t="n">
        <f aca="false">C10*$C$5</f>
        <v>11.2544</v>
      </c>
      <c r="E10" s="0" t="str">
        <f aca="false">IF(D10&gt;=$C$3,"YES","NO")</f>
        <v>NO</v>
      </c>
      <c r="F10" s="21" t="n">
        <f aca="false">IFERROR(D10/$C$3-1,0)</f>
        <v>-0.0737261887713407</v>
      </c>
    </row>
    <row r="11" customFormat="false" ht="15" hidden="false" customHeight="false" outlineLevel="0" collapsed="false">
      <c r="A11" s="26" t="n">
        <v>2.5</v>
      </c>
      <c r="B11" s="20" t="n">
        <f aca="false">A11*3.517</f>
        <v>8.7925</v>
      </c>
      <c r="C11" s="20" t="n">
        <f aca="false">B11*$C$6</f>
        <v>7.034</v>
      </c>
      <c r="D11" s="20" t="n">
        <f aca="false">C11*$C$5</f>
        <v>14.068</v>
      </c>
      <c r="E11" s="0" t="str">
        <f aca="false">IF(D11&gt;=$C$3,"YES","NO")</f>
        <v>YES</v>
      </c>
      <c r="F11" s="21" t="n">
        <f aca="false">IFERROR(D11/$C$3-1,0)</f>
        <v>0.157842264035824</v>
      </c>
    </row>
    <row r="12" customFormat="false" ht="15" hidden="false" customHeight="false" outlineLevel="0" collapsed="false">
      <c r="A12" s="26" t="n">
        <v>3</v>
      </c>
      <c r="B12" s="20" t="n">
        <f aca="false">A12*3.517</f>
        <v>10.551</v>
      </c>
      <c r="C12" s="20" t="n">
        <f aca="false">B12*$C$6</f>
        <v>8.4408</v>
      </c>
      <c r="D12" s="20" t="n">
        <f aca="false">C12*$C$5</f>
        <v>16.8816</v>
      </c>
      <c r="E12" s="0" t="str">
        <f aca="false">IF(D12&gt;=$C$3,"YES","NO")</f>
        <v>YES</v>
      </c>
      <c r="F12" s="21" t="n">
        <f aca="false">IFERROR(D12/$C$3-1,0)</f>
        <v>0.389410716842989</v>
      </c>
    </row>
    <row r="13" customFormat="false" ht="15" hidden="false" customHeight="false" outlineLevel="0" collapsed="false">
      <c r="A13" s="26" t="n">
        <v>4</v>
      </c>
      <c r="B13" s="20" t="n">
        <f aca="false">A13*3.517</f>
        <v>14.068</v>
      </c>
      <c r="C13" s="20" t="n">
        <f aca="false">B13*$C$6</f>
        <v>11.2544</v>
      </c>
      <c r="D13" s="20" t="n">
        <f aca="false">C13*$C$5</f>
        <v>22.5088</v>
      </c>
      <c r="E13" s="0" t="str">
        <f aca="false">IF(D13&gt;=$C$3,"YES","NO")</f>
        <v>YES</v>
      </c>
      <c r="F13" s="21" t="n">
        <f aca="false">IFERROR(D13/$C$3-1,0)</f>
        <v>0.852547622457319</v>
      </c>
    </row>
    <row r="15" customFormat="false" ht="15" hidden="false" customHeight="false" outlineLevel="0" collapsed="false">
      <c r="A15" s="16" t="s">
        <v>157</v>
      </c>
      <c r="C15" s="27" t="n">
        <f aca="false">IFERROR(INDEX(A9:A13,MATCH("YES",E9:E13,0)),"Increase size")</f>
        <v>2.5</v>
      </c>
    </row>
    <row r="16" customFormat="false" ht="15" hidden="false" customHeight="false" outlineLevel="0" collapsed="false">
      <c r="A16" s="0" t="s">
        <v>158</v>
      </c>
      <c r="C16" s="28" t="n">
        <f aca="false">IFERROR(C15*3.517,0)</f>
        <v>8.7925</v>
      </c>
      <c r="D16" s="19" t="s">
        <v>62</v>
      </c>
    </row>
    <row r="17" customFormat="false" ht="15" hidden="false" customHeight="false" outlineLevel="0" collapsed="false">
      <c r="A17" s="0" t="s">
        <v>159</v>
      </c>
      <c r="C17" s="28" t="n">
        <f aca="false">IFERROR(C16*$C$6*$C$4,0)</f>
        <v>21.102</v>
      </c>
      <c r="D17" s="19" t="s">
        <v>62</v>
      </c>
    </row>
    <row r="18" customFormat="false" ht="15" hidden="false" customHeight="false" outlineLevel="0" collapsed="false">
      <c r="A18" s="0" t="s">
        <v>160</v>
      </c>
      <c r="C18" s="28" t="n">
        <f aca="false">IFERROR(C16*$C$6*$C$5,0)</f>
        <v>14.068</v>
      </c>
      <c r="D18" s="19" t="s">
        <v>62</v>
      </c>
    </row>
    <row r="20" customFormat="false" ht="15" hidden="false" customHeight="false" outlineLevel="0" collapsed="false">
      <c r="A20" s="2" t="s">
        <v>161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44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48"/>
    <col collapsed="false" customWidth="true" hidden="false" outlineLevel="0" max="7" min="7" style="0" width="60"/>
  </cols>
  <sheetData>
    <row r="1" customFormat="false" ht="16.15" hidden="false" customHeight="false" outlineLevel="0" collapsed="false">
      <c r="A1" s="1" t="s">
        <v>162</v>
      </c>
    </row>
    <row r="3" customFormat="false" ht="31.5" hidden="false" customHeight="true" outlineLevel="0" collapsed="false">
      <c r="A3" s="29" t="s">
        <v>163</v>
      </c>
      <c r="B3" s="29" t="s">
        <v>164</v>
      </c>
      <c r="C3" s="29" t="s">
        <v>165</v>
      </c>
      <c r="D3" s="29" t="s">
        <v>151</v>
      </c>
      <c r="E3" s="29" t="s">
        <v>152</v>
      </c>
      <c r="F3" s="29" t="s">
        <v>166</v>
      </c>
      <c r="G3" s="29" t="s">
        <v>167</v>
      </c>
    </row>
    <row r="4" customFormat="false" ht="15" hidden="false" customHeight="false" outlineLevel="0" collapsed="false">
      <c r="A4" s="16" t="s">
        <v>168</v>
      </c>
      <c r="B4" s="8" t="s">
        <v>169</v>
      </c>
      <c r="C4" s="30" t="n">
        <v>2.83</v>
      </c>
      <c r="D4" s="31" t="n">
        <f aca="false">'Unit Selection'!C15</f>
        <v>2.5</v>
      </c>
      <c r="E4" s="22" t="n">
        <f aca="false">'Unit Selection'!C16</f>
        <v>8.7925</v>
      </c>
      <c r="F4" s="7" t="s">
        <v>170</v>
      </c>
      <c r="G4" s="7" t="s">
        <v>171</v>
      </c>
    </row>
    <row r="5" customFormat="false" ht="15" hidden="false" customHeight="false" outlineLevel="0" collapsed="false">
      <c r="A5" s="16" t="s">
        <v>172</v>
      </c>
      <c r="B5" s="8" t="s">
        <v>173</v>
      </c>
      <c r="C5" s="30" t="n">
        <v>2.83</v>
      </c>
      <c r="D5" s="31" t="n">
        <f aca="false">'Unit Selection'!C15</f>
        <v>2.5</v>
      </c>
      <c r="E5" s="22" t="n">
        <f aca="false">'Unit Selection'!C16</f>
        <v>8.7925</v>
      </c>
      <c r="F5" s="7" t="s">
        <v>174</v>
      </c>
      <c r="G5" s="7" t="s">
        <v>175</v>
      </c>
    </row>
    <row r="6" customFormat="false" ht="15" hidden="false" customHeight="false" outlineLevel="0" collapsed="false">
      <c r="A6" s="16" t="s">
        <v>176</v>
      </c>
      <c r="B6" s="8" t="s">
        <v>169</v>
      </c>
      <c r="C6" s="30" t="n">
        <v>6.21</v>
      </c>
      <c r="D6" s="31" t="n">
        <f aca="false">'Unit Selection'!C15</f>
        <v>2.5</v>
      </c>
      <c r="E6" s="22" t="n">
        <f aca="false">'Unit Selection'!C16</f>
        <v>8.7925</v>
      </c>
      <c r="F6" s="7" t="s">
        <v>170</v>
      </c>
      <c r="G6" s="7" t="s">
        <v>171</v>
      </c>
    </row>
    <row r="7" customFormat="false" ht="15" hidden="false" customHeight="false" outlineLevel="0" collapsed="false">
      <c r="A7" s="16" t="s">
        <v>177</v>
      </c>
      <c r="B7" s="8" t="s">
        <v>173</v>
      </c>
      <c r="C7" s="30" t="n">
        <v>6.21</v>
      </c>
      <c r="D7" s="31" t="n">
        <f aca="false">'Unit Selection'!C15</f>
        <v>2.5</v>
      </c>
      <c r="E7" s="22" t="n">
        <f aca="false">'Unit Selection'!C16</f>
        <v>8.7925</v>
      </c>
      <c r="F7" s="7" t="s">
        <v>174</v>
      </c>
      <c r="G7" s="7" t="s">
        <v>175</v>
      </c>
    </row>
    <row r="8" customFormat="false" ht="15" hidden="false" customHeight="false" outlineLevel="0" collapsed="false">
      <c r="A8" s="16" t="s">
        <v>178</v>
      </c>
      <c r="B8" s="8" t="s">
        <v>169</v>
      </c>
      <c r="C8" s="30" t="n">
        <v>9.43</v>
      </c>
      <c r="D8" s="31" t="n">
        <f aca="false">'Unit Selection'!C15</f>
        <v>2.5</v>
      </c>
      <c r="E8" s="22" t="n">
        <f aca="false">'Unit Selection'!C16</f>
        <v>8.7925</v>
      </c>
      <c r="F8" s="7" t="s">
        <v>170</v>
      </c>
      <c r="G8" s="7" t="s">
        <v>171</v>
      </c>
    </row>
    <row r="9" customFormat="false" ht="15" hidden="false" customHeight="false" outlineLevel="0" collapsed="false">
      <c r="A9" s="16" t="s">
        <v>179</v>
      </c>
      <c r="B9" s="8" t="s">
        <v>173</v>
      </c>
      <c r="C9" s="30" t="n">
        <v>9.43</v>
      </c>
      <c r="D9" s="31" t="n">
        <f aca="false">'Unit Selection'!C15</f>
        <v>2.5</v>
      </c>
      <c r="E9" s="22" t="n">
        <f aca="false">'Unit Selection'!C16</f>
        <v>8.7925</v>
      </c>
      <c r="F9" s="7" t="s">
        <v>174</v>
      </c>
      <c r="G9" s="7" t="s">
        <v>175</v>
      </c>
    </row>
    <row r="10" customFormat="false" ht="15" hidden="false" customHeight="false" outlineLevel="0" collapsed="false">
      <c r="A10" s="16" t="s">
        <v>180</v>
      </c>
      <c r="B10" s="8" t="s">
        <v>181</v>
      </c>
      <c r="F10" s="7" t="s">
        <v>182</v>
      </c>
      <c r="G10" s="7" t="s">
        <v>183</v>
      </c>
    </row>
    <row r="12" customFormat="false" ht="15" hidden="false" customHeight="false" outlineLevel="0" collapsed="false">
      <c r="A12" s="2" t="s">
        <v>184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0"/>
  </cols>
  <sheetData>
    <row r="1" customFormat="false" ht="16.15" hidden="false" customHeight="false" outlineLevel="0" collapsed="false">
      <c r="A1" s="1" t="s">
        <v>185</v>
      </c>
    </row>
    <row r="3" customFormat="false" ht="15" hidden="false" customHeight="false" outlineLevel="0" collapsed="false">
      <c r="A3" s="32" t="s">
        <v>186</v>
      </c>
    </row>
    <row r="4" customFormat="false" ht="15" hidden="false" customHeight="false" outlineLevel="0" collapsed="false">
      <c r="A4" s="32" t="s">
        <v>187</v>
      </c>
    </row>
    <row r="5" customFormat="false" ht="15" hidden="false" customHeight="false" outlineLevel="0" collapsed="false">
      <c r="A5" s="32" t="s">
        <v>188</v>
      </c>
    </row>
    <row r="6" customFormat="false" ht="15" hidden="false" customHeight="false" outlineLevel="0" collapsed="false">
      <c r="A6" s="32" t="s">
        <v>189</v>
      </c>
    </row>
    <row r="7" customFormat="false" ht="15" hidden="false" customHeight="false" outlineLevel="0" collapsed="false">
      <c r="A7" s="32" t="s">
        <v>190</v>
      </c>
    </row>
    <row r="8" customFormat="false" ht="15" hidden="false" customHeight="false" outlineLevel="0" collapsed="false">
      <c r="A8" s="32" t="s">
        <v>191</v>
      </c>
    </row>
    <row r="9" customFormat="false" ht="15" hidden="false" customHeight="false" outlineLevel="0" collapsed="false">
      <c r="A9" s="32" t="s">
        <v>192</v>
      </c>
    </row>
    <row r="10" customFormat="false" ht="15" hidden="false" customHeight="false" outlineLevel="0" collapsed="false">
      <c r="A10" s="32" t="s">
        <v>193</v>
      </c>
    </row>
    <row r="11" customFormat="false" ht="15" hidden="false" customHeight="false" outlineLevel="0" collapsed="false">
      <c r="A11" s="32" t="s">
        <v>194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2026-10-04T09:35:47Z</dcterms:created>
  <dc:creator>openpyxl</dc:creator>
  <dc:description/>
  <dc:language>en-US</dc:language>
  <cp:lastModifiedBy/>
  <dcterms:modified xsi:type="dcterms:W3CDTF">2026-10-04T09:35:47Z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